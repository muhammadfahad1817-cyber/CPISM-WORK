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hammad Fahad\"/>
    </mc:Choice>
  </mc:AlternateContent>
  <xr:revisionPtr revIDLastSave="0" documentId="8_{CCA01715-9260-4A7F-81AC-B227CD745CEB}" xr6:coauthVersionLast="36" xr6:coauthVersionMax="36" xr10:uidLastSave="{00000000-0000-0000-0000-000000000000}"/>
  <bookViews>
    <workbookView xWindow="-120" yWindow="-120" windowWidth="20730" windowHeight="11040" xr2:uid="{E9529D50-EACB-47F1-A690-3B33CD1978DF}"/>
  </bookViews>
  <sheets>
    <sheet name="Sheet3" sheetId="3" r:id="rId1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" l="1"/>
  <c r="J30" i="3" s="1"/>
  <c r="F30" i="3" l="1"/>
</calcChain>
</file>

<file path=xl/sharedStrings.xml><?xml version="1.0" encoding="utf-8"?>
<sst xmlns="http://schemas.openxmlformats.org/spreadsheetml/2006/main" count="47" uniqueCount="36">
  <si>
    <t>EXAMINATION:</t>
  </si>
  <si>
    <t>NAME:</t>
  </si>
  <si>
    <t>FATHER'S NAME:</t>
  </si>
  <si>
    <t>DATE OF BIRTH:</t>
  </si>
  <si>
    <t>NAME OF SCHOOL:</t>
  </si>
  <si>
    <t>1ST ANNUAL 2024</t>
  </si>
  <si>
    <t>MUHAMMAD ALIYAR</t>
  </si>
  <si>
    <t>QUDOOS IQBAL</t>
  </si>
  <si>
    <t>OCCIDENT GRAMMAR SCHOOL</t>
  </si>
  <si>
    <t>SUBJECTS</t>
  </si>
  <si>
    <t>URDU NORMAL</t>
  </si>
  <si>
    <t>SINDHI SALES</t>
  </si>
  <si>
    <t>ENGLISH</t>
  </si>
  <si>
    <t>MATHEMATICS</t>
  </si>
  <si>
    <t>BIOLOGY (TH)</t>
  </si>
  <si>
    <t>BIOLOGY (PR)</t>
  </si>
  <si>
    <t>CHEMISTRY(TH)</t>
  </si>
  <si>
    <t>CHEMISTRY(PR)</t>
  </si>
  <si>
    <t>PHYSICS(TH)</t>
  </si>
  <si>
    <t>PHYSICS(PR)</t>
  </si>
  <si>
    <t>ISLAMIAT</t>
  </si>
  <si>
    <t>PAKISTAN STUDIES</t>
  </si>
  <si>
    <t>PART II MARKS</t>
  </si>
  <si>
    <t>Min Marks</t>
  </si>
  <si>
    <t>Obt Marks</t>
  </si>
  <si>
    <t>Max Marks</t>
  </si>
  <si>
    <t>REMARKS</t>
  </si>
  <si>
    <t>---</t>
  </si>
  <si>
    <t>COMBINED MARKS</t>
  </si>
  <si>
    <t>PART I Marks</t>
  </si>
  <si>
    <t xml:space="preserve">GRAND TOTAL: </t>
  </si>
  <si>
    <t>GRADE:</t>
  </si>
  <si>
    <t>PERCENTAGE:</t>
  </si>
  <si>
    <t>STATEMENT OF MARKS</t>
  </si>
  <si>
    <t>S.S.C EXAMINATION</t>
  </si>
  <si>
    <t xml:space="preserve">ROLL NUMBER: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</si>
</sst>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0" xfId="0" applyNumberFormat="1" applyBorder="1"/>
    <xf numFmtId="0" fontId="0" fillId="0" borderId="1" xfId="0" applyBorder="1" applyAlignment="1">
      <alignment horizontal="left" indent="3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wrapText="1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Font="1"/>
    <xf numFmtId="10" fontId="0" fillId="0" borderId="0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409577</xdr:colOff>
      <xdr:row>0</xdr:row>
      <xdr:rowOff>76201</xdr:rowOff>
    </xdr:from>
    <xdr:to>
      <xdr:col>8</xdr:col>
      <xdr:colOff>600075</xdr:colOff>
      <xdr:row>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B1AA2-B8E2-4306-9DC8-A699E299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7" y="76201"/>
          <a:ext cx="190498" cy="190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BFA4-0C16-44FC-9177-9E4F1F98CDB0}">
  <dimension ref="B2:S32"/>
  <sheetViews>
    <sheetView showGridLines="0" tabSelected="1" topLeftCell="A11" workbookViewId="0">
      <selection activeCell="I19" sqref="I19"/>
    </sheetView>
  </sheetViews>
  <sheetFormatPr defaultRowHeight="15" x14ac:dyDescent="0.25"/>
  <cols>
    <col min="2" max="2" width="17.7109375" bestFit="1" customWidth="1"/>
    <col min="3" max="3" width="9.7109375" bestFit="1" customWidth="1"/>
  </cols>
  <sheetData>
    <row r="2" spans="2:19" x14ac:dyDescent="0.25">
      <c r="I2" s="13" t="s">
        <v>33</v>
      </c>
      <c r="J2" s="12"/>
    </row>
    <row r="3" spans="2:19" x14ac:dyDescent="0.25">
      <c r="I3" s="11" t="s">
        <v>34</v>
      </c>
      <c r="J3" s="14"/>
    </row>
    <row r="4" spans="2:19" x14ac:dyDescent="0.25">
      <c r="I4" s="15"/>
    </row>
    <row r="5" spans="2:19" x14ac:dyDescent="0.25">
      <c r="B5" s="2" t="s">
        <v>0</v>
      </c>
      <c r="C5" s="2" t="s">
        <v>5</v>
      </c>
      <c r="D5" s="2"/>
      <c r="E5" s="2"/>
      <c r="Q5" t="s">
        <v>35</v>
      </c>
      <c r="S5">
        <v>212321</v>
      </c>
    </row>
    <row r="6" spans="2:19" x14ac:dyDescent="0.25">
      <c r="B6" s="2" t="s">
        <v>1</v>
      </c>
      <c r="C6" s="2" t="s">
        <v>6</v>
      </c>
      <c r="D6" s="2"/>
      <c r="E6" s="2"/>
      <c r="F6" s="2"/>
    </row>
    <row r="7" spans="2:19" x14ac:dyDescent="0.25">
      <c r="B7" s="2" t="s">
        <v>2</v>
      </c>
      <c r="C7" s="2" t="s">
        <v>7</v>
      </c>
      <c r="D7" s="2"/>
      <c r="E7" s="2"/>
      <c r="F7" s="2"/>
    </row>
    <row r="8" spans="2:19" x14ac:dyDescent="0.25">
      <c r="B8" s="2" t="s">
        <v>3</v>
      </c>
      <c r="C8" s="7">
        <v>39151</v>
      </c>
      <c r="D8" s="2"/>
      <c r="E8" s="2"/>
      <c r="F8" s="2"/>
    </row>
    <row r="9" spans="2:19" x14ac:dyDescent="0.25">
      <c r="B9" s="2" t="s">
        <v>4</v>
      </c>
      <c r="C9" s="2" t="s">
        <v>8</v>
      </c>
      <c r="D9" s="2"/>
      <c r="E9" s="2"/>
      <c r="F9" s="2"/>
    </row>
    <row r="10" spans="2:19" x14ac:dyDescent="0.25">
      <c r="F10" s="2"/>
    </row>
    <row r="12" spans="2:19" x14ac:dyDescent="0.25">
      <c r="B12" s="18" t="s">
        <v>9</v>
      </c>
      <c r="C12" s="8" t="s">
        <v>29</v>
      </c>
      <c r="D12" s="9"/>
      <c r="E12" s="9" t="s">
        <v>22</v>
      </c>
      <c r="F12" s="8"/>
      <c r="G12" s="8" t="s">
        <v>28</v>
      </c>
      <c r="H12" s="9"/>
      <c r="I12" s="3"/>
      <c r="J12" s="17" t="s">
        <v>26</v>
      </c>
    </row>
    <row r="13" spans="2:19" ht="30" x14ac:dyDescent="0.25">
      <c r="B13" s="18"/>
      <c r="C13" s="10" t="s">
        <v>23</v>
      </c>
      <c r="D13" s="10" t="s">
        <v>24</v>
      </c>
      <c r="E13" s="10" t="s">
        <v>23</v>
      </c>
      <c r="F13" s="10" t="s">
        <v>24</v>
      </c>
      <c r="G13" s="10" t="s">
        <v>25</v>
      </c>
      <c r="H13" s="10" t="s">
        <v>23</v>
      </c>
      <c r="I13" s="10" t="s">
        <v>24</v>
      </c>
      <c r="J13" s="17"/>
    </row>
    <row r="14" spans="2:19" x14ac:dyDescent="0.25">
      <c r="B14" s="1" t="s">
        <v>10</v>
      </c>
      <c r="C14" s="4">
        <v>25</v>
      </c>
      <c r="D14" s="5">
        <v>51</v>
      </c>
      <c r="E14" s="6" t="s">
        <v>27</v>
      </c>
      <c r="F14" s="6" t="s">
        <v>27</v>
      </c>
      <c r="G14" s="5">
        <v>75</v>
      </c>
      <c r="H14" s="5">
        <v>25</v>
      </c>
      <c r="I14" s="5">
        <v>5</v>
      </c>
      <c r="J14" s="1"/>
    </row>
    <row r="15" spans="2:19" x14ac:dyDescent="0.25">
      <c r="B15" s="1" t="s">
        <v>11</v>
      </c>
      <c r="C15" s="6" t="s">
        <v>27</v>
      </c>
      <c r="D15" s="6" t="s">
        <v>27</v>
      </c>
      <c r="E15" s="5">
        <v>25</v>
      </c>
      <c r="F15" s="5">
        <v>54</v>
      </c>
      <c r="G15" s="5">
        <v>75</v>
      </c>
      <c r="H15" s="5">
        <v>25</v>
      </c>
      <c r="I15" s="5">
        <v>5</v>
      </c>
      <c r="J15" s="1"/>
    </row>
    <row r="16" spans="2:19" x14ac:dyDescent="0.25">
      <c r="B16" s="1" t="s">
        <v>12</v>
      </c>
      <c r="C16" s="5">
        <v>33</v>
      </c>
      <c r="D16" s="5">
        <v>78</v>
      </c>
      <c r="E16" s="5">
        <v>33</v>
      </c>
      <c r="F16" s="5">
        <v>77</v>
      </c>
      <c r="G16" s="5">
        <v>200</v>
      </c>
      <c r="H16" s="5">
        <v>66</v>
      </c>
      <c r="I16" s="5">
        <v>155</v>
      </c>
      <c r="J16" s="1"/>
    </row>
    <row r="17" spans="2:10" x14ac:dyDescent="0.25">
      <c r="B17" s="1" t="s">
        <v>13</v>
      </c>
      <c r="C17" s="5">
        <v>25</v>
      </c>
      <c r="D17" s="5">
        <v>61</v>
      </c>
      <c r="E17" s="5">
        <v>25</v>
      </c>
      <c r="F17" s="5">
        <v>71</v>
      </c>
      <c r="G17" s="5">
        <v>150</v>
      </c>
      <c r="H17" s="5">
        <v>50</v>
      </c>
      <c r="I17" s="5">
        <v>132</v>
      </c>
      <c r="J17" s="1"/>
    </row>
    <row r="18" spans="2:10" x14ac:dyDescent="0.25">
      <c r="B18" s="1" t="s">
        <v>14</v>
      </c>
      <c r="C18" s="5">
        <v>20</v>
      </c>
      <c r="D18" s="5">
        <v>47</v>
      </c>
      <c r="E18" s="5">
        <v>20</v>
      </c>
      <c r="F18" s="5">
        <v>53</v>
      </c>
      <c r="G18" s="5">
        <v>120</v>
      </c>
      <c r="H18" s="5">
        <v>40</v>
      </c>
      <c r="I18" s="5">
        <v>5</v>
      </c>
      <c r="J18" s="1"/>
    </row>
    <row r="19" spans="2:10" x14ac:dyDescent="0.25">
      <c r="B19" s="1" t="s">
        <v>15</v>
      </c>
      <c r="C19" s="5">
        <v>5</v>
      </c>
      <c r="D19" s="5">
        <v>15</v>
      </c>
      <c r="E19" s="5">
        <v>5</v>
      </c>
      <c r="F19" s="5">
        <v>14</v>
      </c>
      <c r="G19" s="5">
        <v>30</v>
      </c>
      <c r="H19" s="5">
        <v>10</v>
      </c>
      <c r="I19" s="5">
        <v>50</v>
      </c>
      <c r="J19" s="1"/>
    </row>
    <row r="20" spans="2:10" x14ac:dyDescent="0.25">
      <c r="B20" s="1" t="s">
        <v>16</v>
      </c>
      <c r="C20" s="5">
        <v>20</v>
      </c>
      <c r="D20" s="5">
        <v>51</v>
      </c>
      <c r="E20" s="5">
        <v>20</v>
      </c>
      <c r="F20" s="5">
        <v>57</v>
      </c>
      <c r="G20" s="5">
        <v>120</v>
      </c>
      <c r="H20" s="5">
        <v>40</v>
      </c>
      <c r="I20" s="5">
        <v>108</v>
      </c>
      <c r="J20" s="1"/>
    </row>
    <row r="21" spans="2:10" x14ac:dyDescent="0.25">
      <c r="B21" s="1" t="s">
        <v>17</v>
      </c>
      <c r="C21" s="5">
        <v>5</v>
      </c>
      <c r="D21" s="5">
        <v>15</v>
      </c>
      <c r="E21" s="5">
        <v>5</v>
      </c>
      <c r="F21" s="5">
        <v>15</v>
      </c>
      <c r="G21" s="5">
        <v>30</v>
      </c>
      <c r="H21" s="5">
        <v>10</v>
      </c>
      <c r="I21" s="5">
        <v>30</v>
      </c>
      <c r="J21" s="1"/>
    </row>
    <row r="22" spans="2:10" x14ac:dyDescent="0.25">
      <c r="B22" s="1" t="s">
        <v>18</v>
      </c>
      <c r="C22" s="5">
        <v>20</v>
      </c>
      <c r="D22" s="5">
        <v>53</v>
      </c>
      <c r="E22" s="5">
        <v>20</v>
      </c>
      <c r="F22" s="5">
        <v>50</v>
      </c>
      <c r="G22" s="5">
        <v>120</v>
      </c>
      <c r="H22" s="5">
        <v>40</v>
      </c>
      <c r="I22" s="5">
        <v>103</v>
      </c>
      <c r="J22" s="1"/>
    </row>
    <row r="23" spans="2:10" x14ac:dyDescent="0.25">
      <c r="B23" s="1" t="s">
        <v>19</v>
      </c>
      <c r="C23" s="5">
        <v>5</v>
      </c>
      <c r="D23" s="5">
        <v>15</v>
      </c>
      <c r="E23" s="5">
        <v>5</v>
      </c>
      <c r="F23" s="5">
        <v>14</v>
      </c>
      <c r="G23" s="5">
        <v>30</v>
      </c>
      <c r="H23" s="5">
        <v>10</v>
      </c>
      <c r="I23" s="5">
        <v>29</v>
      </c>
      <c r="J23" s="1"/>
    </row>
    <row r="24" spans="2:10" x14ac:dyDescent="0.25">
      <c r="B24" s="1" t="s">
        <v>20</v>
      </c>
      <c r="C24" s="5">
        <v>25</v>
      </c>
      <c r="D24" s="5">
        <v>71</v>
      </c>
      <c r="E24" s="6" t="s">
        <v>27</v>
      </c>
      <c r="F24" s="6" t="s">
        <v>27</v>
      </c>
      <c r="G24" s="5">
        <v>75</v>
      </c>
      <c r="H24" s="5">
        <v>25</v>
      </c>
      <c r="I24" s="5">
        <v>71</v>
      </c>
      <c r="J24" s="1"/>
    </row>
    <row r="25" spans="2:10" x14ac:dyDescent="0.25">
      <c r="B25" s="1" t="s">
        <v>21</v>
      </c>
      <c r="C25" s="6" t="s">
        <v>27</v>
      </c>
      <c r="D25" s="6" t="s">
        <v>27</v>
      </c>
      <c r="E25" s="5">
        <v>25</v>
      </c>
      <c r="F25" s="5">
        <v>60</v>
      </c>
      <c r="G25" s="5">
        <v>75</v>
      </c>
      <c r="H25" s="5">
        <v>25</v>
      </c>
      <c r="I25" s="5">
        <v>60</v>
      </c>
      <c r="J25" s="1"/>
    </row>
    <row r="30" spans="2:10" x14ac:dyDescent="0.25">
      <c r="B30" t="s">
        <v>30</v>
      </c>
      <c r="C30" s="1">
        <f>SUM(I14:I25)</f>
        <v>753</v>
      </c>
      <c r="D30" s="1">
        <v>1100</v>
      </c>
      <c r="E30" t="s">
        <v>31</v>
      </c>
      <c r="F30" s="2" t="str">
        <f>IF(C30&gt;=800,"A+1",IF(C30&gt;=700,"A",IF(C30&gt;=600,"B",IF(C30&gt;=500,"C",IF(C30&gt;=400,"D",IF(C30&gt;=300,"E","fail"))))))</f>
        <v>A</v>
      </c>
      <c r="H30" t="s">
        <v>32</v>
      </c>
      <c r="J30" s="16">
        <f>C30/D30</f>
        <v>0.68454545454545457</v>
      </c>
    </row>
    <row r="32" spans="2:10" x14ac:dyDescent="0.25">
      <c r="B32" s="19"/>
      <c r="C32" s="19"/>
    </row>
  </sheetData>
  <mergeCells count="2">
    <mergeCell ref="J12:J13"/>
    <mergeCell ref="B12:B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Fahad</dc:creator>
  <cp:lastModifiedBy>Administrator</cp:lastModifiedBy>
  <dcterms:created xsi:type="dcterms:W3CDTF">2025-09-30T13:51:40Z</dcterms:created>
  <dcterms:modified xsi:type="dcterms:W3CDTF">2025-10-16T07:53:31Z</dcterms:modified>
</cp:coreProperties>
</file>