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hammad Fahad\"/>
    </mc:Choice>
  </mc:AlternateContent>
  <xr:revisionPtr revIDLastSave="0" documentId="8_{7F4D72D8-4C4D-4CA1-A7B1-63FD070636CB}" xr6:coauthVersionLast="36" xr6:coauthVersionMax="36" xr10:uidLastSave="{00000000-0000-0000-0000-000000000000}"/>
  <bookViews>
    <workbookView xWindow="0" yWindow="0" windowWidth="20490" windowHeight="7545" xr2:uid="{B0824DB5-FBB3-4CAD-BE37-58DB13C923DB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I9" i="1" s="1"/>
  <c r="K8" i="1" s="1"/>
  <c r="G13" i="1" s="1"/>
  <c r="I13" i="1" s="1"/>
  <c r="J13" i="1" s="1"/>
  <c r="L13" i="1" s="1"/>
  <c r="I10" i="1" l="1"/>
  <c r="G10" i="1"/>
  <c r="G16" i="1"/>
  <c r="I16" i="1" s="1"/>
  <c r="J16" i="1" s="1"/>
  <c r="L16" i="1" s="1"/>
  <c r="G15" i="1"/>
  <c r="I15" i="1" s="1"/>
  <c r="J15" i="1" s="1"/>
  <c r="L15" i="1" s="1"/>
  <c r="G14" i="1"/>
  <c r="I14" i="1" s="1"/>
  <c r="J14" i="1" s="1"/>
  <c r="L14" i="1" s="1"/>
  <c r="G17" i="1"/>
  <c r="I17" i="1" s="1"/>
  <c r="J17" i="1" s="1"/>
  <c r="L17" i="1" s="1"/>
</calcChain>
</file>

<file path=xl/sharedStrings.xml><?xml version="1.0" encoding="utf-8"?>
<sst xmlns="http://schemas.openxmlformats.org/spreadsheetml/2006/main" count="31" uniqueCount="30">
  <si>
    <t>Salary Sheet</t>
  </si>
  <si>
    <t>Select Month</t>
  </si>
  <si>
    <t xml:space="preserve">January </t>
  </si>
  <si>
    <t xml:space="preserve">February </t>
  </si>
  <si>
    <t xml:space="preserve">March </t>
  </si>
  <si>
    <t>April</t>
  </si>
  <si>
    <t>May</t>
  </si>
  <si>
    <t>June</t>
  </si>
  <si>
    <t xml:space="preserve">July </t>
  </si>
  <si>
    <t xml:space="preserve">August </t>
  </si>
  <si>
    <t>September</t>
  </si>
  <si>
    <t>October</t>
  </si>
  <si>
    <t>November</t>
  </si>
  <si>
    <t>December</t>
  </si>
  <si>
    <t>Starting Date</t>
  </si>
  <si>
    <t>Ending Date</t>
  </si>
  <si>
    <t>Name</t>
  </si>
  <si>
    <t xml:space="preserve">Emp ID </t>
  </si>
  <si>
    <t>Basic Salary</t>
  </si>
  <si>
    <t xml:space="preserve">Per day Salary </t>
  </si>
  <si>
    <t>Deduction</t>
  </si>
  <si>
    <t>Gross Salary</t>
  </si>
  <si>
    <t>Advance</t>
  </si>
  <si>
    <t>Income</t>
  </si>
  <si>
    <t xml:space="preserve">Jinnah </t>
  </si>
  <si>
    <t>Gandhi</t>
  </si>
  <si>
    <t>Iqbal</t>
  </si>
  <si>
    <t>Hitler</t>
  </si>
  <si>
    <t>Trump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</si>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</sst>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4A16-22FD-4757-A048-761DCB6BFA23}">
  <dimension ref="D2:N17"/>
  <sheetViews>
    <sheetView tabSelected="1" workbookViewId="0">
      <selection activeCell="D9" sqref="D9"/>
    </sheetView>
  </sheetViews>
  <sheetFormatPr defaultRowHeight="15" x14ac:dyDescent="0.25"/>
  <cols>
    <col min="4" max="4" width="12.5703125" customWidth="1"/>
    <col min="6" max="6" width="11.140625" bestFit="1" customWidth="1"/>
    <col min="7" max="7" width="18.28515625" customWidth="1"/>
    <col min="8" max="8" width="13.85546875" customWidth="1"/>
    <col min="9" max="9" width="18" customWidth="1"/>
    <col min="10" max="10" width="11.5703125" bestFit="1" customWidth="1"/>
  </cols>
  <sheetData>
    <row r="2" spans="4:14" x14ac:dyDescent="0.2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4:14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4:14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4:14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4:14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8" spans="4:14" x14ac:dyDescent="0.25">
      <c r="D8" t="s">
        <v>1</v>
      </c>
      <c r="G8" t="s">
        <v>14</v>
      </c>
      <c r="I8" t="s">
        <v>15</v>
      </c>
      <c r="K8">
        <f>DAY(I9)</f>
        <v>30</v>
      </c>
    </row>
    <row r="9" spans="4:14" x14ac:dyDescent="0.25">
      <c r="D9" t="s">
        <v>5</v>
      </c>
      <c r="G9" s="2">
        <f>DATEVALUE("1"&amp;D9)</f>
        <v>45748</v>
      </c>
      <c r="H9" s="2"/>
      <c r="I9" s="2">
        <f>EOMONTH(G9,"0")</f>
        <v>45777</v>
      </c>
    </row>
    <row r="10" spans="4:14" x14ac:dyDescent="0.25">
      <c r="G10" t="str">
        <f>TEXT(G9, "dddd")</f>
        <v>Tuesday</v>
      </c>
      <c r="I10" t="str">
        <f>TEXT(I9, "dddd")</f>
        <v>Wednesday</v>
      </c>
    </row>
    <row r="11" spans="4:14" ht="15.75" thickBot="1" x14ac:dyDescent="0.3"/>
    <row r="12" spans="4:14" ht="15.75" thickBot="1" x14ac:dyDescent="0.3">
      <c r="D12" s="5" t="s">
        <v>17</v>
      </c>
      <c r="E12" s="6" t="s">
        <v>16</v>
      </c>
      <c r="F12" s="6" t="s">
        <v>18</v>
      </c>
      <c r="G12" s="6" t="s">
        <v>19</v>
      </c>
      <c r="H12" s="6" t="s">
        <v>29</v>
      </c>
      <c r="I12" s="6" t="s">
        <v>20</v>
      </c>
      <c r="J12" s="6" t="s">
        <v>21</v>
      </c>
      <c r="K12" s="6" t="s">
        <v>22</v>
      </c>
      <c r="L12" s="7" t="s">
        <v>23</v>
      </c>
    </row>
    <row r="13" spans="4:14" x14ac:dyDescent="0.25">
      <c r="D13" s="4">
        <v>1</v>
      </c>
      <c r="E13" s="4" t="s">
        <v>24</v>
      </c>
      <c r="F13" s="4">
        <v>30000</v>
      </c>
      <c r="G13" s="8">
        <f>F13/$K$8</f>
        <v>1000</v>
      </c>
      <c r="H13" s="8"/>
      <c r="I13" s="8">
        <f>G13*H13</f>
        <v>0</v>
      </c>
      <c r="J13" s="8">
        <f>F13-I13</f>
        <v>30000</v>
      </c>
      <c r="K13" s="4"/>
      <c r="L13" s="8">
        <f>J13-K13</f>
        <v>30000</v>
      </c>
    </row>
    <row r="14" spans="4:14" x14ac:dyDescent="0.25">
      <c r="D14" s="4">
        <v>2</v>
      </c>
      <c r="E14" s="3" t="s">
        <v>25</v>
      </c>
      <c r="F14" s="3">
        <v>40000</v>
      </c>
      <c r="G14" s="8">
        <f t="shared" ref="G14:G17" si="0">F14/$K$8</f>
        <v>1333.3333333333333</v>
      </c>
      <c r="H14" s="8"/>
      <c r="I14" s="8">
        <f t="shared" ref="I14:I17" si="1">G14*H14</f>
        <v>0</v>
      </c>
      <c r="J14" s="8">
        <f t="shared" ref="J14:J17" si="2">F14-I14</f>
        <v>40000</v>
      </c>
      <c r="K14" s="3">
        <v>5000</v>
      </c>
      <c r="L14" s="8">
        <f t="shared" ref="L14:L17" si="3">J14-K14</f>
        <v>35000</v>
      </c>
    </row>
    <row r="15" spans="4:14" x14ac:dyDescent="0.25">
      <c r="D15" s="4">
        <v>3</v>
      </c>
      <c r="E15" s="3" t="s">
        <v>26</v>
      </c>
      <c r="F15" s="3">
        <v>35000</v>
      </c>
      <c r="G15" s="8">
        <f t="shared" si="0"/>
        <v>1166.6666666666667</v>
      </c>
      <c r="H15" s="8">
        <v>3</v>
      </c>
      <c r="I15" s="8">
        <f t="shared" si="1"/>
        <v>3500</v>
      </c>
      <c r="J15" s="8">
        <f t="shared" si="2"/>
        <v>31500</v>
      </c>
      <c r="K15" s="3"/>
      <c r="L15" s="8">
        <f t="shared" si="3"/>
        <v>31500</v>
      </c>
    </row>
    <row r="16" spans="4:14" x14ac:dyDescent="0.25">
      <c r="D16" s="4">
        <v>4</v>
      </c>
      <c r="E16" s="3" t="s">
        <v>27</v>
      </c>
      <c r="F16" s="3">
        <v>25000</v>
      </c>
      <c r="G16" s="8">
        <f t="shared" si="0"/>
        <v>833.33333333333337</v>
      </c>
      <c r="H16" s="8"/>
      <c r="I16" s="8">
        <f t="shared" si="1"/>
        <v>0</v>
      </c>
      <c r="J16" s="8">
        <f t="shared" si="2"/>
        <v>25000</v>
      </c>
      <c r="K16" s="3">
        <v>2000</v>
      </c>
      <c r="L16" s="8">
        <f t="shared" si="3"/>
        <v>23000</v>
      </c>
    </row>
    <row r="17" spans="4:12" x14ac:dyDescent="0.25">
      <c r="D17" s="4">
        <v>5</v>
      </c>
      <c r="E17" s="3" t="s">
        <v>28</v>
      </c>
      <c r="F17" s="3">
        <v>55000</v>
      </c>
      <c r="G17" s="8">
        <f t="shared" si="0"/>
        <v>1833.3333333333333</v>
      </c>
      <c r="H17" s="8">
        <v>28</v>
      </c>
      <c r="I17" s="8">
        <f t="shared" si="1"/>
        <v>51333.333333333328</v>
      </c>
      <c r="J17" s="8">
        <f t="shared" si="2"/>
        <v>3666.6666666666715</v>
      </c>
      <c r="K17" s="3"/>
      <c r="L17" s="8">
        <f t="shared" si="3"/>
        <v>3666.6666666666715</v>
      </c>
    </row>
  </sheetData>
  <mergeCells count="1">
    <mergeCell ref="D2:N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ED6589-E504-4368-A5AF-292D0F9DCECB}">
          <x14:formula1>
            <xm:f>Sheet2!$B$3:$B$14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EA63-967C-4242-9D55-5E4570C34DEC}">
  <dimension ref="B3:B14"/>
  <sheetViews>
    <sheetView workbookViewId="0">
      <selection activeCell="E12" sqref="E12"/>
    </sheetView>
  </sheetViews>
  <sheetFormatPr defaultRowHeight="15" x14ac:dyDescent="0.25"/>
  <sheetData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4</v>
      </c>
    </row>
    <row r="6" spans="2:2" x14ac:dyDescent="0.25">
      <c r="B6" t="s">
        <v>5</v>
      </c>
    </row>
    <row r="7" spans="2:2" x14ac:dyDescent="0.25">
      <c r="B7" t="s">
        <v>6</v>
      </c>
    </row>
    <row r="8" spans="2:2" x14ac:dyDescent="0.25">
      <c r="B8" t="s">
        <v>7</v>
      </c>
    </row>
    <row r="9" spans="2:2" x14ac:dyDescent="0.25">
      <c r="B9" t="s">
        <v>8</v>
      </c>
    </row>
    <row r="10" spans="2:2" x14ac:dyDescent="0.25">
      <c r="B10" t="s">
        <v>9</v>
      </c>
    </row>
    <row r="11" spans="2:2" x14ac:dyDescent="0.25">
      <c r="B11" t="s">
        <v>10</v>
      </c>
    </row>
    <row r="12" spans="2:2" x14ac:dyDescent="0.25">
      <c r="B12" t="s">
        <v>11</v>
      </c>
    </row>
    <row r="13" spans="2:2" x14ac:dyDescent="0.25">
      <c r="B13" t="s">
        <v>12</v>
      </c>
    </row>
    <row r="14" spans="2:2" x14ac:dyDescent="0.25">
      <c r="B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2025-10-16T06:18:02Z</dcterms:created>
  <dcterms:modified xsi:type="dcterms:W3CDTF">2025-10-16T07:45:35Z</dcterms:modified>
</cp:coreProperties>
</file>