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hammad Fahad\"/>
    </mc:Choice>
  </mc:AlternateContent>
  <xr:revisionPtr revIDLastSave="0" documentId="8_{51B55BBB-67A7-46C2-AE18-F7E47FDC6059}" xr6:coauthVersionLast="36" xr6:coauthVersionMax="36" xr10:uidLastSave="{00000000-0000-0000-0000-000000000000}"/>
  <bookViews>
    <workbookView xWindow="0" yWindow="0" windowWidth="20490" windowHeight="7545" xr2:uid="{1760AB9C-AD92-4F20-8391-A3254F0CCCD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" i="1" l="1"/>
  <c r="AJ10" i="1"/>
  <c r="E11" i="1"/>
  <c r="AJ6" i="1"/>
  <c r="AK6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F11" i="1"/>
  <c r="AK7" i="1"/>
  <c r="AJ7" i="1" s="1"/>
  <c r="AL7" i="1"/>
  <c r="AM7" i="1"/>
  <c r="AK8" i="1"/>
  <c r="AL8" i="1"/>
  <c r="AM8" i="1"/>
  <c r="AK9" i="1"/>
  <c r="AJ9" i="1" s="1"/>
  <c r="AL9" i="1"/>
  <c r="AM9" i="1"/>
  <c r="AK10" i="1"/>
  <c r="AL10" i="1"/>
  <c r="AM10" i="1"/>
  <c r="AM6" i="1"/>
  <c r="AL6" i="1"/>
  <c r="AJ11" i="1" l="1"/>
</calcChain>
</file>

<file path=xl/sharedStrings.xml><?xml version="1.0" encoding="utf-8"?>
<sst xmlns="http://schemas.openxmlformats.org/spreadsheetml/2006/main" count="166" uniqueCount="16">
  <si>
    <t>s.no</t>
  </si>
  <si>
    <t>name</t>
  </si>
  <si>
    <t xml:space="preserve">fahad </t>
  </si>
  <si>
    <t xml:space="preserve">wahab </t>
  </si>
  <si>
    <t xml:space="preserve">atif </t>
  </si>
  <si>
    <t xml:space="preserve">hasnain </t>
  </si>
  <si>
    <t>saif</t>
  </si>
  <si>
    <t>per</t>
  </si>
  <si>
    <t>t_P</t>
  </si>
  <si>
    <t>t_A</t>
  </si>
  <si>
    <t>t_L</t>
  </si>
  <si>
    <t>p</t>
  </si>
  <si>
    <t>P</t>
  </si>
  <si>
    <t>l</t>
  </si>
  <si>
    <t>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</si>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</sst>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9496-78CA-48A7-9B71-FED9643A1B96}">
  <dimension ref="C5:AM15"/>
  <sheetViews>
    <sheetView tabSelected="1" topLeftCell="V1" workbookViewId="0">
      <selection activeCell="AC15" sqref="AC15"/>
    </sheetView>
  </sheetViews>
  <sheetFormatPr defaultRowHeight="15" x14ac:dyDescent="0.25"/>
  <cols>
    <col min="5" max="5" width="10.42578125" bestFit="1" customWidth="1"/>
    <col min="6" max="6" width="11.28515625" customWidth="1"/>
    <col min="7" max="8" width="10.28515625" customWidth="1"/>
    <col min="9" max="9" width="10.140625" customWidth="1"/>
    <col min="10" max="10" width="10.28515625" customWidth="1"/>
    <col min="11" max="11" width="10.7109375" customWidth="1"/>
    <col min="12" max="12" width="10.140625" customWidth="1"/>
    <col min="13" max="13" width="10.7109375" customWidth="1"/>
    <col min="14" max="14" width="11.140625" customWidth="1"/>
    <col min="15" max="15" width="10.7109375" customWidth="1"/>
    <col min="16" max="16" width="10.140625" customWidth="1"/>
    <col min="17" max="17" width="10.42578125" customWidth="1"/>
    <col min="18" max="18" width="10.5703125" customWidth="1"/>
    <col min="19" max="19" width="10.140625" customWidth="1"/>
    <col min="20" max="20" width="10.5703125" customWidth="1"/>
    <col min="21" max="21" width="10.42578125" customWidth="1"/>
    <col min="22" max="22" width="11.140625" customWidth="1"/>
    <col min="23" max="23" width="10.5703125" customWidth="1"/>
    <col min="24" max="24" width="10.85546875" customWidth="1"/>
    <col min="25" max="25" width="10.5703125" customWidth="1"/>
    <col min="26" max="26" width="11.5703125" customWidth="1"/>
    <col min="27" max="27" width="10.42578125" customWidth="1"/>
    <col min="28" max="28" width="10.7109375" customWidth="1"/>
    <col min="29" max="30" width="10.5703125" customWidth="1"/>
    <col min="31" max="31" width="10.42578125" bestFit="1" customWidth="1"/>
    <col min="32" max="32" width="10.5703125" customWidth="1"/>
    <col min="33" max="33" width="10.42578125" bestFit="1" customWidth="1"/>
    <col min="34" max="34" width="12.140625" customWidth="1"/>
    <col min="35" max="35" width="10.42578125" customWidth="1"/>
  </cols>
  <sheetData>
    <row r="5" spans="3:39" x14ac:dyDescent="0.25">
      <c r="C5" s="2" t="s">
        <v>0</v>
      </c>
      <c r="D5" s="2" t="s">
        <v>1</v>
      </c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2">
        <v>28</v>
      </c>
      <c r="AG5" s="2">
        <v>29</v>
      </c>
      <c r="AH5" s="2">
        <v>30</v>
      </c>
      <c r="AI5" s="2">
        <v>31</v>
      </c>
      <c r="AJ5" s="2" t="s">
        <v>7</v>
      </c>
      <c r="AK5" s="2" t="s">
        <v>8</v>
      </c>
      <c r="AL5" s="2" t="s">
        <v>9</v>
      </c>
      <c r="AM5" s="2" t="s">
        <v>10</v>
      </c>
    </row>
    <row r="6" spans="3:39" x14ac:dyDescent="0.25">
      <c r="C6" s="2">
        <v>1</v>
      </c>
      <c r="D6" s="2" t="s">
        <v>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12</v>
      </c>
      <c r="M6" s="3" t="s">
        <v>12</v>
      </c>
      <c r="N6" s="3" t="s">
        <v>12</v>
      </c>
      <c r="O6" s="3" t="s">
        <v>12</v>
      </c>
      <c r="P6" s="3" t="s">
        <v>12</v>
      </c>
      <c r="Q6" s="3" t="s">
        <v>12</v>
      </c>
      <c r="R6" s="3" t="s">
        <v>12</v>
      </c>
      <c r="S6" s="3" t="s">
        <v>12</v>
      </c>
      <c r="T6" s="3" t="s">
        <v>12</v>
      </c>
      <c r="U6" s="3" t="s">
        <v>12</v>
      </c>
      <c r="V6" s="3" t="s">
        <v>12</v>
      </c>
      <c r="W6" s="3" t="s">
        <v>12</v>
      </c>
      <c r="X6" s="3" t="s">
        <v>12</v>
      </c>
      <c r="Y6" s="3" t="s">
        <v>12</v>
      </c>
      <c r="Z6" s="3" t="s">
        <v>12</v>
      </c>
      <c r="AA6" s="3" t="s">
        <v>12</v>
      </c>
      <c r="AB6" s="3" t="s">
        <v>12</v>
      </c>
      <c r="AC6" s="3" t="s">
        <v>12</v>
      </c>
      <c r="AD6" s="3" t="s">
        <v>12</v>
      </c>
      <c r="AE6" s="3" t="s">
        <v>12</v>
      </c>
      <c r="AF6" s="3" t="s">
        <v>12</v>
      </c>
      <c r="AG6" s="3" t="s">
        <v>11</v>
      </c>
      <c r="AH6" s="3" t="s">
        <v>12</v>
      </c>
      <c r="AI6" s="3" t="s">
        <v>12</v>
      </c>
      <c r="AJ6" s="3">
        <f>AK6/31*100</f>
        <v>100</v>
      </c>
      <c r="AK6" s="2">
        <f>COUNTIF(E6:AI6,"P")</f>
        <v>31</v>
      </c>
      <c r="AL6" s="2">
        <f>COUNTIF(E6:AI6,"A")</f>
        <v>0</v>
      </c>
      <c r="AM6" s="2">
        <f>COUNTIF(E6:AI6,"L")</f>
        <v>0</v>
      </c>
    </row>
    <row r="7" spans="3:39" x14ac:dyDescent="0.25">
      <c r="C7" s="2">
        <v>2</v>
      </c>
      <c r="D7" s="2" t="s">
        <v>3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12</v>
      </c>
      <c r="L7" s="3" t="s">
        <v>12</v>
      </c>
      <c r="M7" s="3" t="s">
        <v>12</v>
      </c>
      <c r="N7" s="3" t="s">
        <v>12</v>
      </c>
      <c r="O7" s="3" t="s">
        <v>12</v>
      </c>
      <c r="P7" s="3" t="s">
        <v>12</v>
      </c>
      <c r="Q7" s="3" t="s">
        <v>12</v>
      </c>
      <c r="R7" s="3" t="s">
        <v>12</v>
      </c>
      <c r="S7" s="3" t="s">
        <v>12</v>
      </c>
      <c r="T7" s="3" t="s">
        <v>12</v>
      </c>
      <c r="U7" s="3" t="s">
        <v>12</v>
      </c>
      <c r="V7" s="3" t="s">
        <v>11</v>
      </c>
      <c r="W7" s="3" t="s">
        <v>12</v>
      </c>
      <c r="X7" s="3" t="s">
        <v>12</v>
      </c>
      <c r="Y7" s="3" t="s">
        <v>12</v>
      </c>
      <c r="Z7" s="3" t="s">
        <v>12</v>
      </c>
      <c r="AA7" s="3" t="s">
        <v>12</v>
      </c>
      <c r="AB7" s="3" t="s">
        <v>12</v>
      </c>
      <c r="AC7" s="3" t="s">
        <v>12</v>
      </c>
      <c r="AD7" s="3" t="s">
        <v>12</v>
      </c>
      <c r="AE7" s="3" t="s">
        <v>14</v>
      </c>
      <c r="AF7" s="3" t="s">
        <v>12</v>
      </c>
      <c r="AG7" s="3" t="s">
        <v>11</v>
      </c>
      <c r="AH7" s="3" t="s">
        <v>12</v>
      </c>
      <c r="AI7" s="3" t="s">
        <v>12</v>
      </c>
      <c r="AJ7" s="3">
        <f t="shared" ref="AJ7:AJ10" si="0">AK7/31*100</f>
        <v>96.774193548387103</v>
      </c>
      <c r="AK7" s="2">
        <f t="shared" ref="AK7:AK10" si="1">COUNTIF(E7:AI7,"P")</f>
        <v>30</v>
      </c>
      <c r="AL7" s="2">
        <f t="shared" ref="AL7:AL10" si="2">COUNTIF(E7:AI7,"A")</f>
        <v>1</v>
      </c>
      <c r="AM7" s="2">
        <f t="shared" ref="AM7:AM10" si="3">COUNTIF(E7:AI7,"L")</f>
        <v>0</v>
      </c>
    </row>
    <row r="8" spans="3:39" x14ac:dyDescent="0.25">
      <c r="C8" s="2">
        <v>3</v>
      </c>
      <c r="D8" s="2" t="s">
        <v>4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  <c r="L8" s="3" t="s">
        <v>12</v>
      </c>
      <c r="M8" s="3" t="s">
        <v>12</v>
      </c>
      <c r="N8" s="3" t="s">
        <v>12</v>
      </c>
      <c r="O8" s="3" t="s">
        <v>12</v>
      </c>
      <c r="P8" s="3" t="s">
        <v>12</v>
      </c>
      <c r="Q8" s="3" t="s">
        <v>12</v>
      </c>
      <c r="R8" s="3" t="s">
        <v>12</v>
      </c>
      <c r="S8" s="3" t="s">
        <v>12</v>
      </c>
      <c r="T8" s="3" t="s">
        <v>12</v>
      </c>
      <c r="U8" s="3" t="s">
        <v>12</v>
      </c>
      <c r="V8" s="3" t="s">
        <v>12</v>
      </c>
      <c r="W8" s="3" t="s">
        <v>12</v>
      </c>
      <c r="X8" s="3" t="s">
        <v>12</v>
      </c>
      <c r="Y8" s="3" t="s">
        <v>12</v>
      </c>
      <c r="Z8" s="3" t="s">
        <v>12</v>
      </c>
      <c r="AA8" s="3" t="s">
        <v>12</v>
      </c>
      <c r="AB8" s="3" t="s">
        <v>12</v>
      </c>
      <c r="AC8" s="3" t="s">
        <v>12</v>
      </c>
      <c r="AD8" s="3" t="s">
        <v>12</v>
      </c>
      <c r="AE8" s="3" t="s">
        <v>12</v>
      </c>
      <c r="AF8" s="3" t="s">
        <v>12</v>
      </c>
      <c r="AG8" s="3" t="s">
        <v>11</v>
      </c>
      <c r="AH8" s="3" t="s">
        <v>12</v>
      </c>
      <c r="AI8" s="3" t="s">
        <v>12</v>
      </c>
      <c r="AJ8" s="3">
        <f t="shared" si="0"/>
        <v>100</v>
      </c>
      <c r="AK8" s="2">
        <f t="shared" si="1"/>
        <v>31</v>
      </c>
      <c r="AL8" s="2">
        <f t="shared" si="2"/>
        <v>0</v>
      </c>
      <c r="AM8" s="2">
        <f t="shared" si="3"/>
        <v>0</v>
      </c>
    </row>
    <row r="9" spans="3:39" x14ac:dyDescent="0.25">
      <c r="C9" s="2">
        <v>4</v>
      </c>
      <c r="D9" s="2" t="s">
        <v>5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12</v>
      </c>
      <c r="K9" s="3" t="s">
        <v>12</v>
      </c>
      <c r="L9" s="3" t="s">
        <v>12</v>
      </c>
      <c r="M9" s="3" t="s">
        <v>12</v>
      </c>
      <c r="N9" s="3" t="s">
        <v>12</v>
      </c>
      <c r="O9" s="3" t="s">
        <v>12</v>
      </c>
      <c r="P9" s="3" t="s">
        <v>12</v>
      </c>
      <c r="Q9" s="3" t="s">
        <v>12</v>
      </c>
      <c r="R9" s="3" t="s">
        <v>12</v>
      </c>
      <c r="S9" s="3" t="s">
        <v>12</v>
      </c>
      <c r="T9" s="3" t="s">
        <v>11</v>
      </c>
      <c r="U9" s="3" t="s">
        <v>12</v>
      </c>
      <c r="V9" s="3" t="s">
        <v>12</v>
      </c>
      <c r="W9" s="3" t="s">
        <v>12</v>
      </c>
      <c r="X9" s="3" t="s">
        <v>12</v>
      </c>
      <c r="Y9" s="3" t="s">
        <v>12</v>
      </c>
      <c r="Z9" s="3" t="s">
        <v>12</v>
      </c>
      <c r="AA9" s="3" t="s">
        <v>13</v>
      </c>
      <c r="AB9" s="3" t="s">
        <v>12</v>
      </c>
      <c r="AC9" s="3" t="s">
        <v>12</v>
      </c>
      <c r="AD9" s="3" t="s">
        <v>12</v>
      </c>
      <c r="AE9" s="3" t="s">
        <v>12</v>
      </c>
      <c r="AF9" s="3" t="s">
        <v>12</v>
      </c>
      <c r="AG9" s="3" t="s">
        <v>11</v>
      </c>
      <c r="AH9" s="3" t="s">
        <v>12</v>
      </c>
      <c r="AI9" s="3" t="s">
        <v>12</v>
      </c>
      <c r="AJ9" s="3">
        <f t="shared" si="0"/>
        <v>96.774193548387103</v>
      </c>
      <c r="AK9" s="2">
        <f t="shared" si="1"/>
        <v>30</v>
      </c>
      <c r="AL9" s="2">
        <f t="shared" si="2"/>
        <v>0</v>
      </c>
      <c r="AM9" s="2">
        <f t="shared" si="3"/>
        <v>1</v>
      </c>
    </row>
    <row r="10" spans="3:39" x14ac:dyDescent="0.25">
      <c r="C10" s="2">
        <v>5</v>
      </c>
      <c r="D10" s="2" t="s">
        <v>6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12</v>
      </c>
      <c r="M10" s="3" t="s">
        <v>12</v>
      </c>
      <c r="N10" s="3" t="s">
        <v>12</v>
      </c>
      <c r="O10" s="3" t="s">
        <v>12</v>
      </c>
      <c r="P10" s="3" t="s">
        <v>12</v>
      </c>
      <c r="Q10" s="3" t="s">
        <v>12</v>
      </c>
      <c r="R10" s="3" t="s">
        <v>12</v>
      </c>
      <c r="S10" s="3" t="s">
        <v>12</v>
      </c>
      <c r="T10" s="3" t="s">
        <v>12</v>
      </c>
      <c r="U10" s="3" t="s">
        <v>12</v>
      </c>
      <c r="V10" s="3" t="s">
        <v>12</v>
      </c>
      <c r="W10" s="3" t="s">
        <v>12</v>
      </c>
      <c r="X10" s="3" t="s">
        <v>12</v>
      </c>
      <c r="Y10" s="3" t="s">
        <v>12</v>
      </c>
      <c r="Z10" s="3" t="s">
        <v>12</v>
      </c>
      <c r="AA10" s="3" t="s">
        <v>12</v>
      </c>
      <c r="AB10" s="3" t="s">
        <v>12</v>
      </c>
      <c r="AC10" s="3" t="s">
        <v>13</v>
      </c>
      <c r="AD10" s="3" t="s">
        <v>12</v>
      </c>
      <c r="AE10" s="3" t="s">
        <v>12</v>
      </c>
      <c r="AF10" s="3" t="s">
        <v>12</v>
      </c>
      <c r="AG10" s="3" t="s">
        <v>15</v>
      </c>
      <c r="AH10" s="3" t="s">
        <v>12</v>
      </c>
      <c r="AI10" s="3" t="s">
        <v>14</v>
      </c>
      <c r="AJ10" s="3">
        <f t="shared" si="0"/>
        <v>90.322580645161281</v>
      </c>
      <c r="AK10" s="2">
        <f t="shared" si="1"/>
        <v>28</v>
      </c>
      <c r="AL10" s="2">
        <f t="shared" si="2"/>
        <v>2</v>
      </c>
      <c r="AM10" s="2">
        <f t="shared" si="3"/>
        <v>1</v>
      </c>
    </row>
    <row r="11" spans="3:39" x14ac:dyDescent="0.25">
      <c r="C11" s="2"/>
      <c r="D11" s="2"/>
      <c r="E11" s="2">
        <f>COUNTIF(E6:E10,"P")</f>
        <v>5</v>
      </c>
      <c r="F11" s="2">
        <f>COUNTIF(F6:F10,"P")</f>
        <v>5</v>
      </c>
      <c r="G11" s="2">
        <f t="shared" ref="G11:AI11" si="4">COUNTIF(G6:G10,"P")</f>
        <v>5</v>
      </c>
      <c r="H11" s="2">
        <f t="shared" si="4"/>
        <v>5</v>
      </c>
      <c r="I11" s="2">
        <f t="shared" si="4"/>
        <v>5</v>
      </c>
      <c r="J11" s="2">
        <f t="shared" si="4"/>
        <v>5</v>
      </c>
      <c r="K11" s="2">
        <f t="shared" si="4"/>
        <v>5</v>
      </c>
      <c r="L11" s="2">
        <f t="shared" si="4"/>
        <v>5</v>
      </c>
      <c r="M11" s="2">
        <f t="shared" si="4"/>
        <v>5</v>
      </c>
      <c r="N11" s="2">
        <f t="shared" si="4"/>
        <v>5</v>
      </c>
      <c r="O11" s="2">
        <f t="shared" si="4"/>
        <v>5</v>
      </c>
      <c r="P11" s="2">
        <f t="shared" si="4"/>
        <v>5</v>
      </c>
      <c r="Q11" s="2">
        <f t="shared" si="4"/>
        <v>5</v>
      </c>
      <c r="R11" s="2">
        <f t="shared" si="4"/>
        <v>5</v>
      </c>
      <c r="S11" s="2">
        <f t="shared" si="4"/>
        <v>5</v>
      </c>
      <c r="T11" s="2">
        <f t="shared" si="4"/>
        <v>5</v>
      </c>
      <c r="U11" s="2">
        <f t="shared" si="4"/>
        <v>5</v>
      </c>
      <c r="V11" s="2">
        <f t="shared" si="4"/>
        <v>5</v>
      </c>
      <c r="W11" s="2">
        <f t="shared" si="4"/>
        <v>5</v>
      </c>
      <c r="X11" s="2">
        <f t="shared" si="4"/>
        <v>5</v>
      </c>
      <c r="Y11" s="2">
        <f t="shared" si="4"/>
        <v>5</v>
      </c>
      <c r="Z11" s="2">
        <f t="shared" si="4"/>
        <v>5</v>
      </c>
      <c r="AA11" s="2">
        <f t="shared" si="4"/>
        <v>4</v>
      </c>
      <c r="AB11" s="2">
        <f t="shared" si="4"/>
        <v>5</v>
      </c>
      <c r="AC11" s="2">
        <f t="shared" si="4"/>
        <v>4</v>
      </c>
      <c r="AD11" s="2">
        <f t="shared" si="4"/>
        <v>5</v>
      </c>
      <c r="AE11" s="2">
        <f t="shared" si="4"/>
        <v>4</v>
      </c>
      <c r="AF11" s="2">
        <f t="shared" si="4"/>
        <v>5</v>
      </c>
      <c r="AG11" s="2">
        <f t="shared" si="4"/>
        <v>4</v>
      </c>
      <c r="AH11" s="2">
        <f t="shared" si="4"/>
        <v>5</v>
      </c>
      <c r="AI11" s="2">
        <f t="shared" si="4"/>
        <v>4</v>
      </c>
      <c r="AJ11" s="3">
        <f>AVERAGE(AJ6:AJ10)</f>
        <v>96.774193548387089</v>
      </c>
      <c r="AK11" s="2"/>
      <c r="AL11" s="2"/>
      <c r="AM11" s="2"/>
    </row>
    <row r="12" spans="3:39" x14ac:dyDescent="0.25">
      <c r="C12" s="2"/>
      <c r="D12" s="2"/>
      <c r="E12" s="4">
        <v>45932</v>
      </c>
      <c r="F12" s="4">
        <v>45933</v>
      </c>
      <c r="G12" s="4">
        <v>45934</v>
      </c>
      <c r="H12" s="4">
        <v>45935</v>
      </c>
      <c r="I12" s="4">
        <v>45936</v>
      </c>
      <c r="J12" s="4">
        <v>45937</v>
      </c>
      <c r="K12" s="4">
        <v>45938</v>
      </c>
      <c r="L12" s="4">
        <v>45939</v>
      </c>
      <c r="M12" s="4">
        <v>45940</v>
      </c>
      <c r="N12" s="4">
        <v>45941</v>
      </c>
      <c r="O12" s="4">
        <v>45942</v>
      </c>
      <c r="P12" s="4">
        <v>45943</v>
      </c>
      <c r="Q12" s="4">
        <v>45944</v>
      </c>
      <c r="R12" s="4">
        <v>45945</v>
      </c>
      <c r="S12" s="4">
        <v>45946</v>
      </c>
      <c r="T12" s="4">
        <v>45947</v>
      </c>
      <c r="U12" s="4">
        <v>45948</v>
      </c>
      <c r="V12" s="4">
        <v>45949</v>
      </c>
      <c r="W12" s="4">
        <v>45950</v>
      </c>
      <c r="X12" s="4">
        <v>45951</v>
      </c>
      <c r="Y12" s="4">
        <v>45952</v>
      </c>
      <c r="Z12" s="4">
        <v>45953</v>
      </c>
      <c r="AA12" s="4">
        <v>45954</v>
      </c>
      <c r="AB12" s="4">
        <v>45955</v>
      </c>
      <c r="AC12" s="4">
        <v>45956</v>
      </c>
      <c r="AD12" s="4">
        <v>45957</v>
      </c>
      <c r="AE12" s="4">
        <v>45958</v>
      </c>
      <c r="AF12" s="4">
        <v>45959</v>
      </c>
      <c r="AG12" s="4">
        <v>45960</v>
      </c>
      <c r="AH12" s="4">
        <v>45961</v>
      </c>
      <c r="AI12" s="4">
        <v>45962</v>
      </c>
      <c r="AJ12" s="2"/>
      <c r="AK12" s="2"/>
      <c r="AL12" s="2"/>
      <c r="AM12" s="2"/>
    </row>
    <row r="13" spans="3:39" x14ac:dyDescent="0.25">
      <c r="C13" s="2"/>
      <c r="D13" s="2"/>
      <c r="E13" s="5">
        <v>45932</v>
      </c>
      <c r="F13" s="5">
        <v>45933</v>
      </c>
      <c r="G13" s="5">
        <v>45934</v>
      </c>
      <c r="H13" s="5">
        <v>45935</v>
      </c>
      <c r="I13" s="5">
        <v>45936</v>
      </c>
      <c r="J13" s="5">
        <v>45937</v>
      </c>
      <c r="K13" s="5">
        <v>45938</v>
      </c>
      <c r="L13" s="5">
        <v>45939</v>
      </c>
      <c r="M13" s="5">
        <v>45940</v>
      </c>
      <c r="N13" s="5">
        <v>45941</v>
      </c>
      <c r="O13" s="5">
        <v>45942</v>
      </c>
      <c r="P13" s="5">
        <v>45943</v>
      </c>
      <c r="Q13" s="5">
        <v>45944</v>
      </c>
      <c r="R13" s="5">
        <v>45945</v>
      </c>
      <c r="S13" s="5">
        <v>45946</v>
      </c>
      <c r="T13" s="5">
        <v>45947</v>
      </c>
      <c r="U13" s="5">
        <v>45948</v>
      </c>
      <c r="V13" s="5">
        <v>45949</v>
      </c>
      <c r="W13" s="5">
        <v>45950</v>
      </c>
      <c r="X13" s="5">
        <v>45951</v>
      </c>
      <c r="Y13" s="5">
        <v>45952</v>
      </c>
      <c r="Z13" s="5">
        <v>45953</v>
      </c>
      <c r="AA13" s="5">
        <v>45954</v>
      </c>
      <c r="AB13" s="5">
        <v>45955</v>
      </c>
      <c r="AC13" s="5">
        <v>45956</v>
      </c>
      <c r="AD13" s="5">
        <v>45957</v>
      </c>
      <c r="AE13" s="5">
        <v>45958</v>
      </c>
      <c r="AF13" s="5">
        <v>45959</v>
      </c>
      <c r="AG13" s="5">
        <v>45960</v>
      </c>
      <c r="AH13" s="5">
        <v>45961</v>
      </c>
      <c r="AI13" s="5">
        <v>45962</v>
      </c>
      <c r="AJ13" s="2"/>
      <c r="AK13" s="2"/>
      <c r="AL13" s="2"/>
      <c r="AM13" s="2"/>
    </row>
    <row r="15" spans="3:39" x14ac:dyDescent="0.25">
      <c r="G15" s="1"/>
    </row>
  </sheetData>
  <conditionalFormatting sqref="E6:AJ10 AJ11">
    <cfRule type="cellIs" dxfId="7" priority="8" operator="equal">
      <formula>"p"</formula>
    </cfRule>
  </conditionalFormatting>
  <conditionalFormatting sqref="AG6:AG10">
    <cfRule type="cellIs" dxfId="6" priority="7" operator="equal">
      <formula>"a"</formula>
    </cfRule>
  </conditionalFormatting>
  <conditionalFormatting sqref="V7">
    <cfRule type="cellIs" dxfId="5" priority="6" operator="equal">
      <formula>"l"</formula>
    </cfRule>
  </conditionalFormatting>
  <conditionalFormatting sqref="T9">
    <cfRule type="cellIs" dxfId="4" priority="5" operator="equal">
      <formula>"l"</formula>
    </cfRule>
  </conditionalFormatting>
  <conditionalFormatting sqref="AI10">
    <cfRule type="cellIs" dxfId="3" priority="4" operator="equal">
      <formula>"A"</formula>
    </cfRule>
  </conditionalFormatting>
  <conditionalFormatting sqref="AE7">
    <cfRule type="cellIs" dxfId="2" priority="3" operator="equal">
      <formula>"A"</formula>
    </cfRule>
  </conditionalFormatting>
  <conditionalFormatting sqref="AA9">
    <cfRule type="cellIs" dxfId="1" priority="2" operator="equal">
      <formula>"l"</formula>
    </cfRule>
  </conditionalFormatting>
  <conditionalFormatting sqref="AC10">
    <cfRule type="cellIs" dxfId="0" priority="1" operator="equal">
      <formula>"L"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2025-10-02T06:49:36Z</dcterms:created>
  <dcterms:modified xsi:type="dcterms:W3CDTF">2025-10-02T07:48:39Z</dcterms:modified>
</cp:coreProperties>
</file>